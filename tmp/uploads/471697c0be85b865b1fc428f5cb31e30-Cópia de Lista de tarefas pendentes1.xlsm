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filterPrivacy="1" codeName="ThisWorkbook"/>
  <xr:revisionPtr revIDLastSave="0" documentId="8_{F3BE710D-D12F-4827-95EF-AA6C3C043803}" xr6:coauthVersionLast="44" xr6:coauthVersionMax="44" xr10:uidLastSave="{00000000-0000-0000-0000-000000000000}"/>
  <bookViews>
    <workbookView xWindow="-120" yWindow="-120" windowWidth="20730" windowHeight="11160" xr2:uid="{00000000-000D-0000-FFFF-FFFF00000000}"/>
  </bookViews>
  <sheets>
    <sheet name="Lista de tarefas pendentes" sheetId="7" r:id="rId1"/>
    <sheet name="Definição da tarefa" sheetId="6" r:id="rId2"/>
  </sheets>
  <definedNames>
    <definedName name="AtribuídoA">ChavesDeCores[Atribuído a]</definedName>
    <definedName name="ChaveDeCor">ChavesDeCores[Atribuído a]</definedName>
    <definedName name="ConclusãoPrevistaParaHoje">'Lista de tarefas pendentes'!$C$3</definedName>
    <definedName name="Cor1">'Definição da tarefa'!$B$4</definedName>
    <definedName name="Cor2">'Definição da tarefa'!$B$5</definedName>
    <definedName name="Cor3">'Definição da tarefa'!$B$6</definedName>
    <definedName name="Cor4">'Definição da tarefa'!$B$7</definedName>
    <definedName name="Cor5">'Definição da tarefa'!$B$8</definedName>
    <definedName name="Cor6">'Definição da tarefa'!$B$9</definedName>
    <definedName name="Grade" localSheetId="0">ListaDeTarefasPendentes[[#All],[Descrição]:[Atribuído a]]</definedName>
    <definedName name="TítuloDaColuna1">ListaDeTarefasPendentes[[#Headers],[Concluído]]</definedName>
    <definedName name="TítuloDaColuna2">ChavesDeCores[[#Headers],[Atribuído a]]</definedName>
    <definedName name="_xlnm.Print_Titles" localSheetId="0">'Lista de tarefas pendentes'!$1:$6</definedName>
  </definedNames>
  <calcPr calcId="191029"/>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2" i="7" l="1"/>
  <c r="C3" i="7" l="1"/>
  <c r="C4" i="7"/>
</calcChain>
</file>

<file path=xl/sharedStrings.xml><?xml version="1.0" encoding="utf-8"?>
<sst xmlns="http://schemas.openxmlformats.org/spreadsheetml/2006/main" count="108" uniqueCount="57">
  <si>
    <t xml:space="preserve">                            </t>
  </si>
  <si>
    <t>Dica: insira um número maior do que 1 na coluna Concluído quando a tarefa estiver concluída.</t>
  </si>
  <si>
    <t>Conclusão prevista para hoje:</t>
  </si>
  <si>
    <t>Atrasado:</t>
  </si>
  <si>
    <t>Concluído</t>
  </si>
  <si>
    <t xml:space="preserve"> Lista de tarefas pendentes</t>
  </si>
  <si>
    <t>Descrição</t>
  </si>
  <si>
    <t>Data de vencimento</t>
  </si>
  <si>
    <t>Prioridade</t>
  </si>
  <si>
    <t>Alta</t>
  </si>
  <si>
    <t>Média</t>
  </si>
  <si>
    <t>Baixo</t>
  </si>
  <si>
    <t>CONFIGURAÇÃO &gt;</t>
  </si>
  <si>
    <t>Atribuído a</t>
  </si>
  <si>
    <t>Definição da tarefa</t>
  </si>
  <si>
    <t>Os dados na tabela abaixo fornecem as opções disponíveis para o campo Atribuído a. Você pode modificar as entradas ou adicionar novas entradas para personalizar esta pasta de trabalho para atender às suas necessidades.</t>
  </si>
  <si>
    <t>&lt; LISTA DE TAREFAS</t>
  </si>
  <si>
    <t xml:space="preserve">Vitor </t>
  </si>
  <si>
    <t>Nize</t>
  </si>
  <si>
    <t>Eder</t>
  </si>
  <si>
    <t>Thamires</t>
  </si>
  <si>
    <t>NÃO</t>
  </si>
  <si>
    <t xml:space="preserve">HOMOLOGAÇÃO BIANCA </t>
  </si>
  <si>
    <t xml:space="preserve">Observação </t>
  </si>
  <si>
    <t xml:space="preserve">Aprovação pedido de café </t>
  </si>
  <si>
    <t>Nize/Thamires/Vitor</t>
  </si>
  <si>
    <t xml:space="preserve">Mandar e-mail para Bruna e desligamentos para pedir a documentação de rescisção. Ligar para a mesma assim que chegar. </t>
  </si>
  <si>
    <t>Vitor ligar para Tati cobrar pedido, assim que pedido chegar aprovado,Thamires ligar para fornecedor para pedir prorrogação do boleto para 10 dias, Nize lançar pedido para pagamento no Forms (caso tiver duvida ligar para Tatiana)</t>
  </si>
  <si>
    <t xml:space="preserve">FGTS FLAVIANE </t>
  </si>
  <si>
    <t>Ligar para Rh cobrar posiciosamento, colocar Marcelo no circuito e explicar que o caso é muito delicado. Caso achar melhor ir junto com Flaviane na caixa econômica.</t>
  </si>
  <si>
    <t xml:space="preserve">Colar câmera do refeitório no teto </t>
  </si>
  <si>
    <t>Colar câmera com dupla face no teto do refeitório. Evitar fios expostos ou pendurados.</t>
  </si>
  <si>
    <t xml:space="preserve">Colocar extintor </t>
  </si>
  <si>
    <t xml:space="preserve">Trocar carga do extintor </t>
  </si>
  <si>
    <t xml:space="preserve">Dar seguimento no processo de compra da troco do fluido do extintor </t>
  </si>
  <si>
    <t xml:space="preserve">Terminar processo seletivo </t>
  </si>
  <si>
    <t>Foi enviado processos seletivos para Gleiciane, aguardar feedback da mesma.</t>
  </si>
  <si>
    <t>Manuntenção ara condicionado</t>
  </si>
  <si>
    <t>Cobrar orçamentos Tatiana, pedir para Thamires conseguir mais orçamentos</t>
  </si>
  <si>
    <t>Vitor/Thamires</t>
  </si>
  <si>
    <t xml:space="preserve">Pedido capa de chuva </t>
  </si>
  <si>
    <t>Protetor Solar Luana</t>
  </si>
  <si>
    <t>Nize/Thamires</t>
  </si>
  <si>
    <t xml:space="preserve">Bobinas Monitores </t>
  </si>
  <si>
    <t xml:space="preserve">Cobrar Tatiana sobre o rastreamento da coleta, caso não chegue até amanhã, comprar mais duas caixas via boleto. </t>
  </si>
  <si>
    <t xml:space="preserve">Lançar Vento Kit </t>
  </si>
  <si>
    <t>Cobrar Tatiana sobre pedido adicional da instalação dos ventokit</t>
  </si>
  <si>
    <t xml:space="preserve">Fotos para crachá </t>
  </si>
  <si>
    <t xml:space="preserve">Tirar foto de todos os funcionários que estão sem o crachá e mandar foto para maria rosa (todos com uniformes) </t>
  </si>
  <si>
    <t>Nize/Eder</t>
  </si>
  <si>
    <t>Receber PDV's</t>
  </si>
  <si>
    <t>Fazer o protocolo da outorga</t>
  </si>
  <si>
    <t>27/2019</t>
  </si>
  <si>
    <t xml:space="preserve">Procurar e-mail do Marcelo referente a outorga do mês de agosto/2019. Imprimir 3 vias (outorga) e gravar dois cds com planilha de utilização. Fazer protocolo na prefeitura e demutran. Pedir para a Denise gerar o boleto com o valor devido. Já lançar no mesmo dia, não pode atrasar.  </t>
  </si>
  <si>
    <t>Relatório Mabeni</t>
  </si>
  <si>
    <t>Imprimir relatório de todas operações do Mabeni. Entregar no PDV</t>
  </si>
  <si>
    <t xml:space="preserve">Tentar efetuar a compra de 05 protetores solares boleto para 15 dias (enviar no meu e-mail pessoal)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</si>
</sst>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F800]dddd\,\ mmmm\ dd\,\ yyyy"/>
    <numFmt numFmtId="165" formatCode="[&lt;=9999999]###\-####;\(###\)\ ###\-####"/>
    <numFmt numFmtId="166" formatCode="&quot;Concluído&quot;;&quot;&quot;;&quot;&quot;"/>
  </numFmts>
  <fonts count="27">
    <font>
      <sz val="11"/>
      <color theme="1" tint="0.14996795556505021"/>
      <name val="Lucida Sans"/>
      <family val="2"/>
      <scheme val="minor"/>
    </font>
    <font>
      <sz val="11"/>
      <color theme="1"/>
      <name val="Lucida Sans"/>
      <family val="2"/>
      <scheme val="minor"/>
    </font>
    <font>
      <sz val="12"/>
      <color theme="1"/>
      <name val="Lucida Sans"/>
      <family val="2"/>
      <scheme val="minor"/>
    </font>
    <font>
      <sz val="20"/>
      <color theme="3" tint="0.24994659260841701"/>
      <name val="Rockwell"/>
      <family val="2"/>
      <scheme val="major"/>
    </font>
    <font>
      <b/>
      <sz val="14"/>
      <color theme="3" tint="0.24994659260841701"/>
      <name val="Rockwell"/>
      <family val="3"/>
      <scheme val="major"/>
    </font>
    <font>
      <sz val="14"/>
      <color theme="3" tint="0.24994659260841701"/>
      <name val="Rockwell"/>
      <family val="3"/>
      <scheme val="major"/>
    </font>
    <font>
      <b/>
      <sz val="14"/>
      <color theme="5"/>
      <name val="Rockwell"/>
      <family val="3"/>
      <scheme val="major"/>
    </font>
    <font>
      <b/>
      <sz val="14"/>
      <color theme="6"/>
      <name val="Rockwell"/>
      <family val="3"/>
      <scheme val="major"/>
    </font>
    <font>
      <b/>
      <sz val="11"/>
      <color theme="1"/>
      <name val="Lucida Sans"/>
      <family val="2"/>
      <scheme val="minor"/>
    </font>
    <font>
      <sz val="11"/>
      <color theme="0"/>
      <name val="Lucida Sans"/>
      <family val="2"/>
      <scheme val="minor"/>
    </font>
    <font>
      <i/>
      <sz val="11"/>
      <color theme="1" tint="0.34998626667073579"/>
      <name val="Lucida Sans"/>
      <family val="2"/>
      <scheme val="minor"/>
    </font>
    <font>
      <u/>
      <sz val="11"/>
      <color theme="6" tint="-0.24994659260841701"/>
      <name val="Lucida Sans"/>
      <family val="2"/>
      <scheme val="minor"/>
    </font>
    <font>
      <sz val="11"/>
      <color theme="3"/>
      <name val="Rockwell"/>
      <family val="2"/>
      <scheme val="major"/>
    </font>
    <font>
      <sz val="11"/>
      <color theme="4" tint="-0.499984740745262"/>
      <name val="Lucida Sans"/>
      <family val="2"/>
      <scheme val="minor"/>
    </font>
    <font>
      <sz val="11"/>
      <name val="Lucida Sans"/>
      <family val="2"/>
      <scheme val="minor"/>
    </font>
    <font>
      <sz val="12"/>
      <color theme="0"/>
      <name val="Rockwell"/>
      <family val="3"/>
      <scheme val="major"/>
    </font>
    <font>
      <sz val="14"/>
      <color theme="6" tint="-0.499984740745262"/>
      <name val="Rockwell"/>
      <family val="1"/>
      <scheme val="major"/>
    </font>
    <font>
      <sz val="14"/>
      <color theme="1"/>
      <name val="Lucida Sans"/>
      <family val="2"/>
      <charset val="238"/>
      <scheme val="minor"/>
    </font>
    <font>
      <sz val="11"/>
      <color theme="1" tint="0.14996795556505021"/>
      <name val="Rockwell"/>
      <family val="1"/>
      <scheme val="major"/>
    </font>
    <font>
      <sz val="14"/>
      <color theme="0"/>
      <name val="Rockwell"/>
      <family val="1"/>
      <scheme val="major"/>
    </font>
    <font>
      <b/>
      <sz val="12"/>
      <color theme="5" tint="-0.499984740745262"/>
      <name val="Lucida Sans"/>
      <family val="2"/>
      <charset val="238"/>
      <scheme val="minor"/>
    </font>
    <font>
      <sz val="36"/>
      <color theme="5" tint="-0.499984740745262"/>
      <name val="Rockwell"/>
      <family val="2"/>
      <scheme val="major"/>
    </font>
    <font>
      <b/>
      <sz val="12"/>
      <color rgb="FF00421F"/>
      <name val="Lucida Sans"/>
      <family val="2"/>
      <scheme val="minor"/>
    </font>
    <font>
      <b/>
      <sz val="12"/>
      <color theme="1" tint="0.14999847407452621"/>
      <name val="Rockwell"/>
      <family val="3"/>
      <scheme val="major"/>
    </font>
    <font>
      <sz val="20"/>
      <color theme="1" tint="0.14999847407452621"/>
      <name val="Rockwell"/>
      <family val="2"/>
      <scheme val="major"/>
    </font>
    <font>
      <sz val="11"/>
      <color theme="1" tint="0.14999847407452621"/>
      <name val="Lucida Sans"/>
      <family val="2"/>
      <scheme val="minor"/>
    </font>
    <font>
      <sz val="12"/>
      <color theme="1" tint="0.14999847407452621"/>
      <name val="Rockwell"/>
      <family val="3"/>
      <scheme val="major"/>
    </font>
  </fonts>
  <fills count="6">
    <fill>
      <patternFill patternType="none"/>
    </fill>
    <fill>
      <patternFill patternType="gray125"/>
    </fill>
    <fill>
      <patternFill patternType="solid">
        <fgColor theme="8" tint="0.79998168889431442"/>
        <bgColor indexed="65"/>
      </patternFill>
    </fill>
    <fill>
      <patternFill patternType="solid">
        <fgColor theme="6" tint="-0.499984740745262"/>
        <bgColor indexed="64"/>
      </patternFill>
    </fill>
    <fill>
      <patternFill patternType="solid">
        <fgColor theme="4"/>
        <bgColor indexed="64"/>
      </patternFill>
    </fill>
    <fill>
      <patternFill patternType="solid">
        <fgColor theme="6" tint="0.79998168889431442"/>
        <bgColor indexed="64"/>
      </patternFill>
    </fill>
  </fills>
  <borders count="3">
    <border>
      <left/>
      <right/>
      <top/>
      <bottom/>
      <diagonal/>
    </border>
    <border>
      <left/>
      <right/>
      <top/>
      <bottom style="thin">
        <color theme="6" tint="0.79998168889431442"/>
      </bottom>
      <diagonal/>
    </border>
    <border>
      <left/>
      <right/>
      <top style="thin">
        <color theme="4" tint="-0.499984740745262"/>
      </top>
      <bottom style="double">
        <color theme="4" tint="-0.499984740745262"/>
      </bottom>
      <diagonal/>
    </border>
  </borders>
  <cellStyleXfs count="12">
    <xf numFmtId="0" fontId="0" fillId="0" borderId="1" applyProtection="0">
      <alignment vertical="center" wrapText="1"/>
    </xf>
    <xf numFmtId="0" fontId="1" fillId="2" borderId="0" applyNumberFormat="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6" fillId="0" borderId="0" applyNumberFormat="0" applyFill="0" applyBorder="0" applyAlignment="0" applyProtection="0"/>
    <xf numFmtId="0" fontId="7" fillId="0" borderId="0" applyNumberFormat="0" applyFill="0" applyBorder="0" applyAlignment="0" applyProtection="0"/>
    <xf numFmtId="0" fontId="10" fillId="0" borderId="0" applyNumberFormat="0" applyFill="0" applyBorder="0" applyAlignment="0" applyProtection="0"/>
    <xf numFmtId="0" fontId="8" fillId="0" borderId="2" applyNumberFormat="0" applyFill="0" applyAlignment="0" applyProtection="0"/>
    <xf numFmtId="0" fontId="11" fillId="0" borderId="0" applyNumberFormat="0" applyFill="0" applyAlignment="0" applyProtection="0">
      <alignment vertical="center"/>
    </xf>
    <xf numFmtId="165" fontId="13" fillId="0" borderId="0" applyFont="0" applyFill="0" applyBorder="0" applyAlignment="0" applyProtection="0"/>
    <xf numFmtId="14" fontId="13" fillId="0" borderId="0" applyFont="0" applyFill="0" applyBorder="0" applyAlignment="0" applyProtection="0"/>
  </cellStyleXfs>
  <cellXfs count="39">
    <xf numFmtId="0" fontId="0" fillId="0" borderId="1" xfId="0">
      <alignment vertical="center" wrapText="1"/>
    </xf>
    <xf numFmtId="0" fontId="0" fillId="0" borderId="1" xfId="0" applyAlignment="1">
      <alignment horizontal="center" vertical="center"/>
    </xf>
    <xf numFmtId="0" fontId="0" fillId="0" borderId="0" xfId="0" applyBorder="1">
      <alignment vertical="center" wrapText="1"/>
    </xf>
    <xf numFmtId="0" fontId="1" fillId="0" borderId="0" xfId="1" applyFill="1"/>
    <xf numFmtId="0" fontId="0" fillId="0" borderId="0" xfId="1" applyFont="1" applyFill="1" applyAlignment="1">
      <alignment horizontal="left" vertical="center" indent="1"/>
    </xf>
    <xf numFmtId="14" fontId="0" fillId="0" borderId="1" xfId="0" applyNumberFormat="1" applyAlignment="1">
      <alignment horizontal="center" vertical="center"/>
    </xf>
    <xf numFmtId="0" fontId="0" fillId="0" borderId="1" xfId="0" applyAlignment="1">
      <alignment horizontal="left" vertical="center" indent="1"/>
    </xf>
    <xf numFmtId="0" fontId="9" fillId="0" borderId="0" xfId="0" applyFont="1" applyBorder="1">
      <alignment vertical="center" wrapText="1"/>
    </xf>
    <xf numFmtId="0" fontId="12" fillId="0" borderId="0" xfId="2" applyFont="1" applyAlignment="1">
      <alignment textRotation="90" wrapText="1"/>
    </xf>
    <xf numFmtId="0" fontId="2" fillId="0" borderId="0" xfId="1" applyFont="1" applyFill="1"/>
    <xf numFmtId="0" fontId="2" fillId="0" borderId="0" xfId="0" applyFont="1" applyBorder="1">
      <alignment vertical="center" wrapText="1"/>
    </xf>
    <xf numFmtId="0" fontId="0" fillId="4" borderId="0" xfId="0" applyFill="1" applyBorder="1">
      <alignment vertical="center" wrapText="1"/>
    </xf>
    <xf numFmtId="0" fontId="15" fillId="3" borderId="0" xfId="4" applyFont="1" applyFill="1" applyAlignment="1">
      <alignment horizontal="right" vertical="center"/>
    </xf>
    <xf numFmtId="0" fontId="17" fillId="5" borderId="0" xfId="6" applyFont="1" applyFill="1" applyAlignment="1">
      <alignment horizontal="left" vertical="center" indent="1"/>
    </xf>
    <xf numFmtId="0" fontId="18" fillId="0" borderId="0" xfId="0" applyFont="1" applyBorder="1" applyAlignment="1">
      <alignment horizontal="left" vertical="center" indent="1"/>
    </xf>
    <xf numFmtId="0" fontId="19" fillId="0" borderId="0" xfId="0" applyFont="1" applyBorder="1">
      <alignment vertical="center" wrapText="1"/>
    </xf>
    <xf numFmtId="0" fontId="22" fillId="4" borderId="0" xfId="9" applyFont="1" applyFill="1" applyAlignment="1">
      <alignment horizontal="right" vertical="center" wrapText="1" indent="1"/>
    </xf>
    <xf numFmtId="0" fontId="21" fillId="4" borderId="0" xfId="2" applyFont="1" applyFill="1" applyAlignment="1">
      <alignment vertical="center"/>
    </xf>
    <xf numFmtId="0" fontId="9" fillId="0" borderId="0" xfId="1" applyFont="1" applyFill="1"/>
    <xf numFmtId="0" fontId="23" fillId="0" borderId="0" xfId="5" applyFont="1" applyAlignment="1">
      <alignment horizontal="left" vertical="top"/>
    </xf>
    <xf numFmtId="0" fontId="24" fillId="0" borderId="0" xfId="2" applyFont="1" applyAlignment="1">
      <alignment horizontal="left"/>
    </xf>
    <xf numFmtId="0" fontId="25" fillId="0" borderId="0" xfId="0" applyFont="1" applyBorder="1">
      <alignment vertical="center" wrapText="1"/>
    </xf>
    <xf numFmtId="0" fontId="26" fillId="0" borderId="0" xfId="4" applyFont="1" applyAlignment="1">
      <alignment horizontal="right" vertical="top"/>
    </xf>
    <xf numFmtId="0" fontId="24" fillId="4" borderId="0" xfId="2" applyFont="1" applyFill="1" applyAlignment="1">
      <alignment wrapText="1"/>
    </xf>
    <xf numFmtId="0" fontId="24" fillId="4" borderId="0" xfId="2" applyFont="1" applyFill="1"/>
    <xf numFmtId="0" fontId="24" fillId="0" borderId="0" xfId="2" applyFont="1"/>
    <xf numFmtId="166" fontId="0" fillId="0" borderId="1" xfId="0" applyNumberFormat="1" applyAlignment="1">
      <alignment horizontal="center" vertical="center"/>
    </xf>
    <xf numFmtId="0" fontId="0" fillId="0" borderId="0" xfId="0" applyBorder="1" applyAlignment="1">
      <alignment horizontal="left" vertical="center" indent="1"/>
    </xf>
    <xf numFmtId="166" fontId="0" fillId="0" borderId="0" xfId="0" applyNumberFormat="1" applyBorder="1" applyAlignment="1">
      <alignment horizontal="center" vertical="center"/>
    </xf>
    <xf numFmtId="14" fontId="0" fillId="0" borderId="0" xfId="0" applyNumberFormat="1" applyBorder="1" applyAlignment="1">
      <alignment horizontal="center" vertical="center"/>
    </xf>
    <xf numFmtId="0" fontId="0" fillId="0" borderId="0" xfId="0" applyBorder="1" applyAlignment="1">
      <alignment horizontal="center" vertical="center"/>
    </xf>
    <xf numFmtId="0" fontId="9" fillId="0" borderId="0" xfId="0" applyFont="1" applyBorder="1" applyAlignment="1">
      <alignment horizontal="center" vertical="center"/>
    </xf>
    <xf numFmtId="164" fontId="16" fillId="0" borderId="0" xfId="3" applyNumberFormat="1" applyFont="1" applyAlignment="1">
      <alignment horizontal="left" vertical="center"/>
    </xf>
    <xf numFmtId="0" fontId="25" fillId="0" borderId="0" xfId="0" applyFont="1" applyBorder="1" applyAlignment="1">
      <alignment horizontal="center" vertical="top" wrapText="1"/>
    </xf>
    <xf numFmtId="0" fontId="14" fillId="0" borderId="0" xfId="0" applyFont="1" applyBorder="1" applyAlignment="1">
      <alignment horizontal="left" vertical="center" wrapText="1"/>
    </xf>
    <xf numFmtId="0" fontId="21" fillId="4" borderId="0" xfId="2" applyFont="1" applyFill="1" applyAlignment="1">
      <alignment horizontal="left" vertical="center"/>
    </xf>
    <xf numFmtId="0" fontId="20" fillId="4" borderId="0" xfId="9" applyFont="1" applyFill="1" applyAlignment="1">
      <alignment horizontal="center" vertical="center" wrapText="1"/>
    </xf>
    <xf numFmtId="0" fontId="0" fillId="0" borderId="1" xfId="0" applyAlignment="1">
      <alignment horizontal="left" vertical="center" wrapText="1" indent="1"/>
    </xf>
    <xf numFmtId="0" fontId="0" fillId="0" borderId="0" xfId="0" applyBorder="1" applyAlignment="1">
      <alignment horizontal="left" vertical="center" wrapText="1" indent="1"/>
    </xf>
  </cellXfs>
  <cellStyles count="12">
    <cellStyle name="20% - Ênfase5" xfId="1" builtinId="46"/>
    <cellStyle name="Data" xfId="11" xr:uid="{864BE7CA-6BA4-43A3-BD1F-7594C2F08679}"/>
    <cellStyle name="Hiperlink" xfId="9" builtinId="8" customBuiltin="1"/>
    <cellStyle name="Normal" xfId="0" builtinId="0" customBuiltin="1"/>
    <cellStyle name="Telefone" xfId="10" xr:uid="{EE586876-43A1-45F4-BD6F-0483BDAB60F6}"/>
    <cellStyle name="Texto Explicativo" xfId="7" builtinId="53" customBuiltin="1"/>
    <cellStyle name="Título" xfId="2" builtinId="15" customBuiltin="1"/>
    <cellStyle name="Título 1" xfId="3" builtinId="16" customBuiltin="1"/>
    <cellStyle name="Título 2" xfId="4" builtinId="17" customBuiltin="1"/>
    <cellStyle name="Título 3" xfId="5" builtinId="18" customBuiltin="1"/>
    <cellStyle name="Título 4" xfId="6" builtinId="19" customBuiltin="1"/>
    <cellStyle name="Total" xfId="8" builtinId="25" customBuiltin="1"/>
  </cellStyles>
  <dxfs count="88">
    <dxf>
      <alignment horizontal="left" vertical="center" textRotation="0" wrapText="1" indent="1" justifyLastLine="0" shrinkToFit="0" readingOrder="0"/>
    </dxf>
    <dxf>
      <alignment horizontal="center" vertical="center" textRotation="0" wrapText="0" indent="0"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border outline="0">
        <bottom style="thin">
          <color theme="6" tint="0.79998168889431442"/>
        </bottom>
      </border>
    </dxf>
    <dxf>
      <font>
        <strike val="0"/>
        <outline val="0"/>
        <shadow val="0"/>
        <u val="none"/>
        <vertAlign val="baseline"/>
        <sz val="14"/>
        <color theme="0"/>
        <name val="Rockwell"/>
        <family val="1"/>
        <scheme val="maj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left" vertical="center" textRotation="0" wrapText="0" indent="1" justifyLastLine="0" shrinkToFit="0" readingOrder="0"/>
    </dxf>
    <dxf>
      <alignment horizontal="left" vertical="center" textRotation="0" wrapText="0" indent="1" justifyLastLine="0" shrinkToFit="0" readingOrder="0"/>
    </dxf>
    <dxf>
      <alignment horizontal="center" vertical="center" textRotation="0" wrapText="0" indent="0" justifyLastLine="0" shrinkToFit="0" readingOrder="0"/>
    </dxf>
    <dxf>
      <numFmt numFmtId="166" formatCode="&quot;Concluído&quot;;&quot;&quot;;&quot;&quot;"/>
      <alignment horizontal="center" vertical="center" textRotation="0" wrapText="0" indent="0" justifyLastLine="0" shrinkToFit="0" readingOrder="0"/>
    </dxf>
    <dxf>
      <font>
        <strike val="0"/>
        <outline val="0"/>
        <shadow val="0"/>
        <u val="none"/>
        <vertAlign val="baseline"/>
        <sz val="11"/>
        <color theme="1" tint="0.14996795556505021"/>
        <name val="Rockwell"/>
        <family val="1"/>
        <scheme val="major"/>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font>
        <color auto="1"/>
      </font>
    </dxf>
    <dxf>
      <font>
        <color theme="9"/>
      </font>
    </dxf>
    <dxf>
      <font>
        <b/>
        <i val="0"/>
        <color auto="1"/>
      </font>
      <fill>
        <patternFill patternType="solid">
          <fgColor auto="1"/>
          <bgColor theme="7"/>
        </patternFill>
      </fill>
    </dxf>
    <dxf>
      <font>
        <strike/>
        <u val="none"/>
        <color theme="1" tint="0.499984740745262"/>
      </font>
    </dxf>
    <dxf>
      <font>
        <color auto="1"/>
      </font>
    </dxf>
    <dxf>
      <font>
        <color theme="9"/>
      </font>
    </dxf>
    <dxf>
      <font>
        <b/>
        <i val="0"/>
        <color auto="1"/>
      </font>
      <fill>
        <patternFill patternType="solid">
          <fgColor auto="1"/>
          <bgColor theme="7"/>
        </patternFill>
      </fill>
    </dxf>
    <dxf>
      <font>
        <strike/>
        <u val="none"/>
        <color theme="1" tint="0.499984740745262"/>
      </font>
    </dxf>
    <dxf>
      <font>
        <color theme="3"/>
      </font>
    </dxf>
    <dxf>
      <border>
        <bottom style="thin">
          <color auto="1"/>
        </bottom>
        <vertical/>
      </border>
    </dxf>
    <dxf>
      <font>
        <color theme="3" tint="0.34998626667073579"/>
      </font>
      <fill>
        <patternFill patternType="none">
          <bgColor auto="1"/>
        </patternFill>
      </fill>
      <border diagonalUp="0" diagonalDown="0">
        <left/>
        <right/>
        <top/>
        <bottom style="thin">
          <color theme="6" tint="0.79998168889431442"/>
        </bottom>
        <vertical/>
        <horizontal style="thin">
          <color theme="6" tint="0.79998168889431442"/>
        </horizontal>
      </border>
    </dxf>
    <dxf>
      <fill>
        <patternFill patternType="solid">
          <fgColor theme="2" tint="0.59996337778862885"/>
          <bgColor theme="0" tint="-4.9989318521683403E-2"/>
        </patternFill>
      </fill>
    </dxf>
    <dxf>
      <fill>
        <patternFill patternType="solid">
          <fgColor theme="2" tint="0.79995117038483843"/>
          <bgColor theme="2"/>
        </patternFill>
      </fill>
    </dxf>
    <dxf>
      <font>
        <color theme="2" tint="0.79995117038483843"/>
      </font>
      <fill>
        <patternFill>
          <bgColor theme="6" tint="-0.499984740745262"/>
        </patternFill>
      </fill>
      <border>
        <top style="thick">
          <color theme="0"/>
        </top>
      </border>
    </dxf>
    <dxf>
      <font>
        <b val="0"/>
        <i val="0"/>
        <color auto="1"/>
      </font>
      <fill>
        <patternFill patternType="none">
          <bgColor auto="1"/>
        </patternFill>
      </fill>
      <border diagonalUp="0" diagonalDown="0">
        <left/>
        <right/>
        <top/>
        <bottom style="thin">
          <color theme="6" tint="-0.499984740745262"/>
        </bottom>
        <vertical/>
        <horizontal/>
      </border>
    </dxf>
  </dxfs>
  <tableStyles count="2" defaultTableStyle="Lista de tarefas pendentes" defaultPivotStyle="PivotStyleLight18">
    <tableStyle name="Catálogo de endereços" pivot="0" count="4" xr9:uid="{00000000-0011-0000-FFFF-FFFF00000000}">
      <tableStyleElement type="wholeTable" dxfId="87"/>
      <tableStyleElement type="headerRow" dxfId="86"/>
      <tableStyleElement type="firstRowStripe" dxfId="85"/>
      <tableStyleElement type="secondRowStripe" dxfId="84"/>
    </tableStyle>
    <tableStyle name="Lista de tarefas pendentes" pivot="0" count="2" xr9:uid="{00000000-0011-0000-FFFF-FFFF00000000}">
      <tableStyleElement type="wholeTable" dxfId="83"/>
      <tableStyleElement type="headerRow" dxfId="82"/>
    </tableStyle>
  </tableStyles>
  <colors>
    <mruColors>
      <color rgb="FF00421F"/>
      <color rgb="FF00E266"/>
      <color rgb="FFF63636"/>
      <color rgb="FFFFFF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10" Type="http://schemas.microsoft.com/office/2006/relationships/vbaProject" Target="vbaProject.bin"/><Relationship Id="rId4" Type="http://schemas.openxmlformats.org/officeDocument/2006/relationships/styles" Target="styles.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2</xdr:col>
      <xdr:colOff>2695574</xdr:colOff>
      <xdr:row>2</xdr:row>
      <xdr:rowOff>0</xdr:rowOff>
    </xdr:from>
    <xdr:to>
      <xdr:col>3</xdr:col>
      <xdr:colOff>1133474</xdr:colOff>
      <xdr:row>4</xdr:row>
      <xdr:rowOff>21600</xdr:rowOff>
    </xdr:to>
    <xdr:sp macro="" textlink="">
      <xdr:nvSpPr>
        <xdr:cNvPr id="4" name="Dica de inserção de dados" descr="Enter a number greater than 1 in Done column when  task is complete">
          <a:extLst>
            <a:ext uri="{FF2B5EF4-FFF2-40B4-BE49-F238E27FC236}">
              <a16:creationId xmlns:a16="http://schemas.microsoft.com/office/drawing/2014/main" id="{00000000-0008-0000-0000-000004000000}"/>
            </a:ext>
          </a:extLst>
        </xdr:cNvPr>
        <xdr:cNvSpPr txBox="1"/>
      </xdr:nvSpPr>
      <xdr:spPr>
        <a:xfrm>
          <a:off x="3838574" y="1114425"/>
          <a:ext cx="1133475"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pPr algn="l" rtl="0"/>
          <a:r>
            <a:rPr lang="pt-br" sz="800">
              <a:solidFill>
                <a:schemeClr val="tx1">
                  <a:lumMod val="85000"/>
                  <a:lumOff val="15000"/>
                </a:schemeClr>
              </a:solidFill>
            </a:rPr>
            <a:t>Insira um número 1 na coluna concluída quando a tarefa for concluída</a:t>
          </a:r>
        </a:p>
      </xdr:txBody>
    </xdr:sp>
    <xdr:clientData fPrintsWithSheet="0"/>
  </xdr:twoCellAnchor>
  <xdr:twoCellAnchor editAs="oneCell">
    <xdr:from>
      <xdr:col>3</xdr:col>
      <xdr:colOff>1171575</xdr:colOff>
      <xdr:row>2</xdr:row>
      <xdr:rowOff>0</xdr:rowOff>
    </xdr:from>
    <xdr:to>
      <xdr:col>5</xdr:col>
      <xdr:colOff>133350</xdr:colOff>
      <xdr:row>4</xdr:row>
      <xdr:rowOff>21600</xdr:rowOff>
    </xdr:to>
    <xdr:sp macro="" textlink="">
      <xdr:nvSpPr>
        <xdr:cNvPr id="16" name="Dica de inserção de dados" descr="Enter a number greater than 1 in Done column when  task is complete">
          <a:extLst>
            <a:ext uri="{FF2B5EF4-FFF2-40B4-BE49-F238E27FC236}">
              <a16:creationId xmlns:a16="http://schemas.microsoft.com/office/drawing/2014/main" id="{1954A24D-DF3A-439E-AB30-634556E8A9EB}"/>
            </a:ext>
          </a:extLst>
        </xdr:cNvPr>
        <xdr:cNvSpPr txBox="1"/>
      </xdr:nvSpPr>
      <xdr:spPr>
        <a:xfrm>
          <a:off x="5010150" y="1114425"/>
          <a:ext cx="2562225" cy="6121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72000" tIns="0" rIns="72000" bIns="0" rtlCol="0" anchor="ctr"/>
        <a:lstStyle/>
        <a:p>
          <a:pPr rtl="0"/>
          <a:r>
            <a:rPr lang="pt-br" sz="800">
              <a:solidFill>
                <a:schemeClr val="dk1"/>
              </a:solidFill>
              <a:effectLst/>
              <a:latin typeface="+mn-lt"/>
              <a:ea typeface="+mn-ea"/>
              <a:cs typeface="+mn-cs"/>
            </a:rPr>
            <a:t>Selecione</a:t>
          </a:r>
          <a:r>
            <a:rPr lang="pt-br" sz="800" baseline="0">
              <a:solidFill>
                <a:schemeClr val="dk1"/>
              </a:solidFill>
              <a:effectLst/>
              <a:latin typeface="+mn-lt"/>
              <a:ea typeface="+mn-ea"/>
              <a:cs typeface="+mn-cs"/>
            </a:rPr>
            <a:t> uma seta suspensa, como </a:t>
          </a:r>
          <a:r>
            <a:rPr lang="pt-br" sz="800">
              <a:solidFill>
                <a:schemeClr val="dk1"/>
              </a:solidFill>
              <a:effectLst/>
              <a:latin typeface="+mn-lt"/>
              <a:ea typeface="+mn-ea"/>
              <a:cs typeface="+mn-cs"/>
            </a:rPr>
            <a:t>Atribuído a ou Prioridade,</a:t>
          </a:r>
          <a:r>
            <a:rPr lang="pt-br" sz="800" baseline="0">
              <a:solidFill>
                <a:schemeClr val="dk1"/>
              </a:solidFill>
              <a:effectLst/>
              <a:latin typeface="+mn-lt"/>
              <a:ea typeface="+mn-ea"/>
              <a:cs typeface="+mn-cs"/>
            </a:rPr>
            <a:t> </a:t>
          </a:r>
          <a:r>
            <a:rPr lang="pt-br" sz="800">
              <a:solidFill>
                <a:schemeClr val="dk1"/>
              </a:solidFill>
              <a:effectLst/>
              <a:latin typeface="+mn-lt"/>
              <a:ea typeface="+mn-ea"/>
              <a:cs typeface="+mn-cs"/>
            </a:rPr>
            <a:t>para Filtrar ou Classificar os itens da Lista de tarefas pendentes.</a:t>
          </a:r>
          <a:endParaRPr lang="en-GB" sz="800">
            <a:effectLst/>
          </a:endParaRPr>
        </a:p>
        <a:p>
          <a:pPr rtl="0"/>
          <a:r>
            <a:rPr lang="pt-br" sz="800">
              <a:solidFill>
                <a:schemeClr val="dk1"/>
              </a:solidFill>
              <a:effectLst/>
              <a:latin typeface="+mn-lt"/>
              <a:ea typeface="+mn-ea"/>
              <a:cs typeface="+mn-cs"/>
            </a:rPr>
            <a:t>As</a:t>
          </a:r>
          <a:r>
            <a:rPr lang="pt-br" sz="800" baseline="0">
              <a:solidFill>
                <a:schemeClr val="dk1"/>
              </a:solidFill>
              <a:effectLst/>
              <a:latin typeface="+mn-lt"/>
              <a:ea typeface="+mn-ea"/>
              <a:cs typeface="+mn-cs"/>
            </a:rPr>
            <a:t> Dicas </a:t>
          </a:r>
          <a:r>
            <a:rPr lang="pt-br" sz="800">
              <a:solidFill>
                <a:schemeClr val="dk1"/>
              </a:solidFill>
              <a:effectLst/>
              <a:latin typeface="+mn-lt"/>
              <a:ea typeface="+mn-ea"/>
              <a:cs typeface="+mn-cs"/>
            </a:rPr>
            <a:t>não são impressas.</a:t>
          </a:r>
          <a:endParaRPr lang="en-GB" sz="800">
            <a:effectLst/>
          </a:endParaRPr>
        </a:p>
      </xdr:txBody>
    </xdr:sp>
    <xdr:clientData fPrintsWithSheet="0"/>
  </xdr:twoCellAnchor>
  <xdr:twoCellAnchor editAs="oneCell">
    <xdr:from>
      <xdr:col>1</xdr:col>
      <xdr:colOff>177512</xdr:colOff>
      <xdr:row>0</xdr:row>
      <xdr:rowOff>111667</xdr:rowOff>
    </xdr:from>
    <xdr:to>
      <xdr:col>1</xdr:col>
      <xdr:colOff>626669</xdr:colOff>
      <xdr:row>0</xdr:row>
      <xdr:rowOff>762687</xdr:rowOff>
    </xdr:to>
    <xdr:pic>
      <xdr:nvPicPr>
        <xdr:cNvPr id="17" name="Imagem 16" descr="Elemento decorativo&#10;">
          <a:extLst>
            <a:ext uri="{FF2B5EF4-FFF2-40B4-BE49-F238E27FC236}">
              <a16:creationId xmlns:a16="http://schemas.microsoft.com/office/drawing/2014/main" id="{DF377864-4FEB-4775-90CF-2A6C6DFF8FD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rot="21012350">
          <a:off x="338246" y="111667"/>
          <a:ext cx="449157" cy="6510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ListaDeTarefasPendentes" displayName="ListaDeTarefasPendentes" ref="B6:G22" headerRowDxfId="17">
  <autoFilter ref="B6:G22" xr:uid="{00000000-0009-0000-0100-000002000000}"/>
  <tableColumns count="6">
    <tableColumn id="1" xr3:uid="{00000000-0010-0000-0000-000001000000}" name="Concluído" totalsRowLabel="Total" dataDxfId="16" totalsRowDxfId="15"/>
    <tableColumn id="2" xr3:uid="{00000000-0010-0000-0000-000002000000}" name="Descrição" dataDxfId="14" totalsRowDxfId="13"/>
    <tableColumn id="3" xr3:uid="{00000000-0010-0000-0000-000003000000}" name="Data de vencimento" dataDxfId="12" totalsRowDxfId="11"/>
    <tableColumn id="4" xr3:uid="{00000000-0010-0000-0000-000004000000}" name="Prioridade" dataDxfId="10" totalsRowDxfId="9"/>
    <tableColumn id="5" xr3:uid="{00000000-0010-0000-0000-000005000000}" name="Atribuído a" totalsRowFunction="count" dataDxfId="1" totalsRowDxfId="8"/>
    <tableColumn id="6" xr3:uid="{B2BA5A87-7CA2-4F6E-9163-C4D5C5095E4B}" name="Observação " dataDxfId="0" totalsRowDxfId="7"/>
  </tableColumns>
  <tableStyleInfo name="Catálogo de endereços" showFirstColumn="1" showLastColumn="0" showRowStripes="1" showColumnStripes="0"/>
  <extLst>
    <ext xmlns:x14="http://schemas.microsoft.com/office/spreadsheetml/2009/9/main" uri="{504A1905-F514-4f6f-8877-14C23A59335A}">
      <x14:table altTextSummary="Digite 1 para marcar as tarefas como Concluídas, adicione a Descrição, a Data de conclusão e selecione a Prioridade e os nomes de Atribuído a nesta tabela"/>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1000000}" name="ChavesDeCores" displayName="ChavesDeCores" ref="B3:B11" headerRowDxfId="6" dataDxfId="4" headerRowBorderDxfId="5">
  <tableColumns count="1">
    <tableColumn id="1" xr3:uid="{00000000-0010-0000-0100-000001000000}" name="Atribuído a" totalsRowFunction="count" dataDxfId="3" totalsRowDxfId="2"/>
  </tableColumns>
  <tableStyleInfo name="Catálogo de endereços" showFirstColumn="0" showLastColumn="0" showRowStripes="1" showColumnStripes="0"/>
  <extLst>
    <ext xmlns:x14="http://schemas.microsoft.com/office/spreadsheetml/2009/9/main" uri="{504A1905-F514-4f6f-8877-14C23A59335A}">
      <x14:table altTextSummary="Inserir ou alterar os nomes de Atribuído a nessa tabela"/>
    </ext>
  </extLst>
</table>
</file>

<file path=xl/theme/theme1.xml><?xml version="1.0" encoding="utf-8"?>
<a:theme xmlns:a="http://schemas.openxmlformats.org/drawingml/2006/main" name="Personal">
  <a:themeElements>
    <a:clrScheme name="Rainbow">
      <a:dk1>
        <a:srgbClr val="000000"/>
      </a:dk1>
      <a:lt1>
        <a:srgbClr val="FFFFFF"/>
      </a:lt1>
      <a:dk2>
        <a:srgbClr val="7E8083"/>
      </a:dk2>
      <a:lt2>
        <a:srgbClr val="E4E5E6"/>
      </a:lt2>
      <a:accent1>
        <a:srgbClr val="7AC143"/>
      </a:accent1>
      <a:accent2>
        <a:srgbClr val="00853E"/>
      </a:accent2>
      <a:accent3>
        <a:srgbClr val="00ADEE"/>
      </a:accent3>
      <a:accent4>
        <a:srgbClr val="FFC000"/>
      </a:accent4>
      <a:accent5>
        <a:srgbClr val="F47920"/>
      </a:accent5>
      <a:accent6>
        <a:srgbClr val="E51937"/>
      </a:accent6>
      <a:hlink>
        <a:srgbClr val="F47920"/>
      </a:hlink>
      <a:folHlink>
        <a:srgbClr val="954F72"/>
      </a:folHlink>
    </a:clrScheme>
    <a:fontScheme name="Custom 2">
      <a:majorFont>
        <a:latin typeface="Rockwell"/>
        <a:ea typeface=""/>
        <a:cs typeface=""/>
      </a:majorFont>
      <a:minorFont>
        <a:latin typeface="Lucida Sans"/>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7" tint="0.59999389629810485"/>
    <pageSetUpPr autoPageBreaks="0" fitToPage="1"/>
  </sheetPr>
  <dimension ref="A1:XFC22"/>
  <sheetViews>
    <sheetView showGridLines="0" tabSelected="1" topLeftCell="A10" zoomScale="70" zoomScaleNormal="70" workbookViewId="0">
      <selection activeCell="C18" sqref="C18"/>
    </sheetView>
  </sheetViews>
  <sheetFormatPr defaultColWidth="0" defaultRowHeight="30" customHeight="1"/>
  <cols>
    <col min="1" max="1" width="1.77734375" style="2" customWidth="1"/>
    <col min="2" max="2" width="13.77734375" style="2" customWidth="1"/>
    <col min="3" max="3" width="31.44140625" style="2" customWidth="1"/>
    <col min="4" max="5" width="21" style="2" customWidth="1"/>
    <col min="6" max="6" width="34.21875" style="2" customWidth="1"/>
    <col min="7" max="7" width="57.88671875" style="2" customWidth="1"/>
    <col min="8" max="8" width="20.21875" style="2" hidden="1" customWidth="1"/>
    <col min="9" max="9" width="17.21875" style="2" hidden="1" customWidth="1"/>
    <col min="10" max="17" width="0" style="2" hidden="1" customWidth="1"/>
    <col min="18" max="16383" width="10.77734375" style="2" hidden="1"/>
    <col min="16384" max="16384" width="74.109375" style="2" customWidth="1"/>
  </cols>
  <sheetData>
    <row r="1" spans="1:15" ht="66" customHeight="1">
      <c r="A1" s="8" t="s">
        <v>0</v>
      </c>
      <c r="B1" s="11"/>
      <c r="C1" s="17" t="s">
        <v>5</v>
      </c>
      <c r="D1" s="23"/>
      <c r="E1" s="24"/>
      <c r="F1" s="16" t="s">
        <v>12</v>
      </c>
      <c r="I1" s="3"/>
      <c r="J1" s="3"/>
      <c r="K1" s="3"/>
      <c r="L1" s="3"/>
      <c r="M1" s="3"/>
      <c r="N1" s="3"/>
    </row>
    <row r="2" spans="1:15" ht="21.75" customHeight="1">
      <c r="A2" s="8" t="s">
        <v>0</v>
      </c>
      <c r="B2" s="32">
        <f ca="1">TODAY()</f>
        <v>43731</v>
      </c>
      <c r="C2" s="32"/>
      <c r="D2" s="25"/>
      <c r="E2" s="25"/>
      <c r="I2" s="3"/>
      <c r="J2" s="3"/>
      <c r="K2" s="3"/>
      <c r="L2" s="3"/>
      <c r="M2" s="3"/>
      <c r="N2" s="3"/>
    </row>
    <row r="3" spans="1:15" ht="23.25" customHeight="1">
      <c r="A3" s="8" t="s">
        <v>0</v>
      </c>
      <c r="B3" s="12" t="s">
        <v>2</v>
      </c>
      <c r="C3" s="13">
        <f ca="1">COUNTIFS(ListaDeTarefasPendentes[Data de vencimento],TODAY(),ListaDeTarefasPendentes[Concluído],"&lt;&gt;1")</f>
        <v>9</v>
      </c>
      <c r="D3" s="21"/>
      <c r="E3" s="21"/>
      <c r="H3" s="3"/>
      <c r="J3" s="3"/>
      <c r="K3" s="3"/>
      <c r="L3" s="3"/>
      <c r="M3" s="3"/>
      <c r="N3" s="3"/>
    </row>
    <row r="4" spans="1:15" ht="23.25" customHeight="1">
      <c r="A4" s="8" t="s">
        <v>0</v>
      </c>
      <c r="B4" s="12" t="s">
        <v>3</v>
      </c>
      <c r="C4" s="13">
        <f ca="1">COUNTIFS(ListaDeTarefasPendentes[Data de vencimento],"&lt;"&amp;TODAY(),ListaDeTarefasPendentes[Concluído],"&lt;&gt;1")</f>
        <v>0</v>
      </c>
      <c r="D4" s="21"/>
      <c r="E4" s="21"/>
      <c r="H4" s="3"/>
      <c r="J4" s="3"/>
      <c r="K4" s="3"/>
      <c r="L4" s="3"/>
      <c r="M4" s="3"/>
      <c r="N4" s="3"/>
    </row>
    <row r="5" spans="1:15" ht="12.75" customHeight="1">
      <c r="A5" s="8" t="s">
        <v>0</v>
      </c>
      <c r="B5" s="22"/>
      <c r="C5" s="19"/>
      <c r="D5" s="20"/>
      <c r="E5" s="20"/>
      <c r="F5" s="21"/>
      <c r="G5" s="7"/>
    </row>
    <row r="6" spans="1:15" s="10" customFormat="1" ht="30" customHeight="1">
      <c r="A6" s="18" t="s">
        <v>1</v>
      </c>
      <c r="B6" s="14" t="s">
        <v>4</v>
      </c>
      <c r="C6" s="14" t="s">
        <v>6</v>
      </c>
      <c r="D6" s="14" t="s">
        <v>7</v>
      </c>
      <c r="E6" s="14" t="s">
        <v>8</v>
      </c>
      <c r="F6" s="14" t="s">
        <v>13</v>
      </c>
      <c r="G6" s="14" t="s">
        <v>23</v>
      </c>
      <c r="J6" s="9"/>
      <c r="K6" s="9"/>
      <c r="L6" s="9"/>
      <c r="M6" s="9"/>
      <c r="N6" s="9"/>
      <c r="O6" s="9"/>
    </row>
    <row r="7" spans="1:15" ht="42.75">
      <c r="A7" s="31"/>
      <c r="B7" s="26" t="s">
        <v>21</v>
      </c>
      <c r="C7" s="6" t="s">
        <v>22</v>
      </c>
      <c r="D7" s="5">
        <v>43733</v>
      </c>
      <c r="E7" s="1" t="s">
        <v>9</v>
      </c>
      <c r="F7" s="1" t="s">
        <v>18</v>
      </c>
      <c r="G7" s="37" t="s">
        <v>26</v>
      </c>
    </row>
    <row r="8" spans="1:15" ht="57">
      <c r="A8" s="31"/>
      <c r="B8" s="26" t="s">
        <v>21</v>
      </c>
      <c r="C8" s="6" t="s">
        <v>24</v>
      </c>
      <c r="D8" s="5">
        <v>43731</v>
      </c>
      <c r="E8" s="1" t="s">
        <v>9</v>
      </c>
      <c r="F8" s="1" t="s">
        <v>25</v>
      </c>
      <c r="G8" s="37" t="s">
        <v>27</v>
      </c>
    </row>
    <row r="9" spans="1:15" ht="42.75">
      <c r="A9" s="31"/>
      <c r="B9" s="26" t="s">
        <v>21</v>
      </c>
      <c r="C9" s="6" t="s">
        <v>28</v>
      </c>
      <c r="D9" s="5">
        <v>43731</v>
      </c>
      <c r="E9" s="1" t="s">
        <v>9</v>
      </c>
      <c r="F9" s="1" t="s">
        <v>18</v>
      </c>
      <c r="G9" s="37" t="s">
        <v>29</v>
      </c>
      <c r="H9" s="5"/>
      <c r="I9" s="1"/>
      <c r="J9" s="1"/>
    </row>
    <row r="10" spans="1:15" ht="28.5">
      <c r="B10" s="26" t="s">
        <v>21</v>
      </c>
      <c r="C10" s="6" t="s">
        <v>30</v>
      </c>
      <c r="D10" s="5">
        <v>43733</v>
      </c>
      <c r="E10" s="1" t="s">
        <v>10</v>
      </c>
      <c r="F10" s="1" t="s">
        <v>17</v>
      </c>
      <c r="G10" s="37" t="s">
        <v>31</v>
      </c>
    </row>
    <row r="11" spans="1:15" ht="14.25">
      <c r="B11" s="26" t="s">
        <v>21</v>
      </c>
      <c r="C11" s="6" t="s">
        <v>32</v>
      </c>
      <c r="D11" s="5">
        <v>43741</v>
      </c>
      <c r="E11" s="1" t="s">
        <v>11</v>
      </c>
      <c r="F11" s="1" t="s">
        <v>17</v>
      </c>
      <c r="G11" s="37"/>
    </row>
    <row r="12" spans="1:15" ht="30" customHeight="1">
      <c r="B12" s="26" t="s">
        <v>21</v>
      </c>
      <c r="C12" s="6" t="s">
        <v>33</v>
      </c>
      <c r="D12" s="5">
        <v>43741</v>
      </c>
      <c r="E12" s="1" t="s">
        <v>11</v>
      </c>
      <c r="F12" s="1" t="s">
        <v>17</v>
      </c>
      <c r="G12" s="37" t="s">
        <v>34</v>
      </c>
    </row>
    <row r="13" spans="1:15" ht="28.5">
      <c r="B13" s="26" t="s">
        <v>21</v>
      </c>
      <c r="C13" s="6" t="s">
        <v>35</v>
      </c>
      <c r="D13" s="5">
        <v>43735</v>
      </c>
      <c r="E13" s="1" t="s">
        <v>9</v>
      </c>
      <c r="F13" s="1" t="s">
        <v>18</v>
      </c>
      <c r="G13" s="37" t="s">
        <v>36</v>
      </c>
    </row>
    <row r="14" spans="1:15" ht="28.5">
      <c r="B14" s="26" t="s">
        <v>21</v>
      </c>
      <c r="C14" s="6" t="s">
        <v>37</v>
      </c>
      <c r="D14" s="5" t="s">
        <v>52</v>
      </c>
      <c r="E14" s="1" t="s">
        <v>9</v>
      </c>
      <c r="F14" s="1" t="s">
        <v>39</v>
      </c>
      <c r="G14" s="37" t="s">
        <v>38</v>
      </c>
    </row>
    <row r="15" spans="1:15" ht="28.5">
      <c r="B15" s="26" t="s">
        <v>21</v>
      </c>
      <c r="C15" s="6" t="s">
        <v>40</v>
      </c>
      <c r="D15" s="5">
        <v>43731</v>
      </c>
      <c r="E15" s="1" t="s">
        <v>9</v>
      </c>
      <c r="F15" s="1" t="s">
        <v>18</v>
      </c>
      <c r="G15" s="37" t="s">
        <v>38</v>
      </c>
    </row>
    <row r="16" spans="1:15" ht="30" customHeight="1">
      <c r="B16" s="26" t="s">
        <v>21</v>
      </c>
      <c r="C16" s="6" t="s">
        <v>41</v>
      </c>
      <c r="D16" s="5">
        <v>43731</v>
      </c>
      <c r="E16" s="1" t="s">
        <v>9</v>
      </c>
      <c r="F16" s="1" t="s">
        <v>42</v>
      </c>
      <c r="G16" s="37" t="s">
        <v>56</v>
      </c>
    </row>
    <row r="17" spans="2:7" ht="30" customHeight="1">
      <c r="B17" s="26" t="s">
        <v>21</v>
      </c>
      <c r="C17" s="6" t="s">
        <v>43</v>
      </c>
      <c r="D17" s="5">
        <v>43731</v>
      </c>
      <c r="E17" s="1" t="s">
        <v>9</v>
      </c>
      <c r="F17" s="1" t="s">
        <v>39</v>
      </c>
      <c r="G17" s="37" t="s">
        <v>44</v>
      </c>
    </row>
    <row r="18" spans="2:7" ht="30" customHeight="1">
      <c r="B18" s="26" t="s">
        <v>21</v>
      </c>
      <c r="C18" s="6" t="s">
        <v>45</v>
      </c>
      <c r="D18" s="5">
        <v>43731</v>
      </c>
      <c r="E18" s="1" t="s">
        <v>9</v>
      </c>
      <c r="F18" s="1" t="s">
        <v>17</v>
      </c>
      <c r="G18" s="37" t="s">
        <v>46</v>
      </c>
    </row>
    <row r="19" spans="2:7" ht="28.5">
      <c r="B19" s="26" t="s">
        <v>21</v>
      </c>
      <c r="C19" s="6" t="s">
        <v>47</v>
      </c>
      <c r="D19" s="5">
        <v>43735</v>
      </c>
      <c r="E19" s="1" t="s">
        <v>9</v>
      </c>
      <c r="F19" s="1" t="s">
        <v>20</v>
      </c>
      <c r="G19" s="37" t="s">
        <v>48</v>
      </c>
    </row>
    <row r="20" spans="2:7" ht="28.5">
      <c r="B20" s="26" t="s">
        <v>21</v>
      </c>
      <c r="C20" s="6" t="s">
        <v>50</v>
      </c>
      <c r="D20" s="5">
        <v>43731</v>
      </c>
      <c r="E20" s="1" t="s">
        <v>9</v>
      </c>
      <c r="F20" s="1" t="s">
        <v>49</v>
      </c>
      <c r="G20" s="37" t="s">
        <v>48</v>
      </c>
    </row>
    <row r="21" spans="2:7" ht="71.25">
      <c r="B21" s="26" t="s">
        <v>21</v>
      </c>
      <c r="C21" s="6" t="s">
        <v>51</v>
      </c>
      <c r="D21" s="5">
        <v>43731</v>
      </c>
      <c r="E21" s="1" t="s">
        <v>9</v>
      </c>
      <c r="F21" s="1" t="s">
        <v>49</v>
      </c>
      <c r="G21" s="37" t="s">
        <v>53</v>
      </c>
    </row>
    <row r="22" spans="2:7" ht="14.25">
      <c r="B22" s="28" t="s">
        <v>21</v>
      </c>
      <c r="C22" s="27" t="s">
        <v>54</v>
      </c>
      <c r="D22" s="29">
        <v>43731</v>
      </c>
      <c r="E22" s="30" t="s">
        <v>9</v>
      </c>
      <c r="F22" s="30" t="s">
        <v>49</v>
      </c>
      <c r="G22" s="38" t="s">
        <v>55</v>
      </c>
    </row>
  </sheetData>
  <mergeCells count="2">
    <mergeCell ref="A7:A9"/>
    <mergeCell ref="B2:C2"/>
  </mergeCells>
  <conditionalFormatting sqref="C7:C16">
    <cfRule type="expression" dxfId="81" priority="90" stopIfTrue="1">
      <formula>D7=""</formula>
    </cfRule>
  </conditionalFormatting>
  <conditionalFormatting sqref="C7:F16">
    <cfRule type="expression" dxfId="80" priority="88" stopIfTrue="1">
      <formula>$B7=1</formula>
    </cfRule>
    <cfRule type="expression" dxfId="79" priority="89">
      <formula>$D7=TODAY()</formula>
    </cfRule>
    <cfRule type="expression" dxfId="78" priority="91">
      <formula>AND(B7&lt;&gt;1,D7=TODAY())</formula>
    </cfRule>
    <cfRule type="expression" dxfId="77" priority="92">
      <formula>AND($B7&lt;&gt;1,$D7&lt;TODAY())</formula>
    </cfRule>
  </conditionalFormatting>
  <conditionalFormatting sqref="H9:J9">
    <cfRule type="expression" dxfId="76" priority="83" stopIfTrue="1">
      <formula>$B9=1</formula>
    </cfRule>
    <cfRule type="expression" dxfId="75" priority="84">
      <formula>$D9=TODAY()</formula>
    </cfRule>
    <cfRule type="expression" dxfId="74" priority="86">
      <formula>AND(G9&lt;&gt;1,I9=TODAY())</formula>
    </cfRule>
    <cfRule type="expression" dxfId="73" priority="87">
      <formula>AND($B9&lt;&gt;1,$D9&lt;TODAY())</formula>
    </cfRule>
  </conditionalFormatting>
  <conditionalFormatting sqref="G7:G16">
    <cfRule type="expression" dxfId="72" priority="80" stopIfTrue="1">
      <formula>H7=""</formula>
    </cfRule>
  </conditionalFormatting>
  <conditionalFormatting sqref="G7:G16">
    <cfRule type="expression" dxfId="71" priority="78" stopIfTrue="1">
      <formula>$B7=1</formula>
    </cfRule>
    <cfRule type="expression" dxfId="70" priority="79">
      <formula>$D7=TODAY()</formula>
    </cfRule>
    <cfRule type="expression" dxfId="69" priority="81">
      <formula>AND(F7&lt;&gt;1,H7=TODAY())</formula>
    </cfRule>
    <cfRule type="expression" dxfId="68" priority="82">
      <formula>AND($B7&lt;&gt;1,$D7&lt;TODAY())</formula>
    </cfRule>
  </conditionalFormatting>
  <conditionalFormatting sqref="C13:C16">
    <cfRule type="expression" dxfId="67" priority="74" stopIfTrue="1">
      <formula>D13=""</formula>
    </cfRule>
  </conditionalFormatting>
  <conditionalFormatting sqref="C13:F16">
    <cfRule type="expression" dxfId="66" priority="72" stopIfTrue="1">
      <formula>$B13=1</formula>
    </cfRule>
    <cfRule type="expression" dxfId="65" priority="73">
      <formula>$D13=TODAY()</formula>
    </cfRule>
    <cfRule type="expression" dxfId="64" priority="75">
      <formula>AND(B13&lt;&gt;1,D13=TODAY())</formula>
    </cfRule>
    <cfRule type="expression" dxfId="63" priority="76">
      <formula>AND($B13&lt;&gt;1,$D13&lt;TODAY())</formula>
    </cfRule>
  </conditionalFormatting>
  <conditionalFormatting sqref="G13:G16">
    <cfRule type="expression" dxfId="62" priority="69" stopIfTrue="1">
      <formula>H13=""</formula>
    </cfRule>
  </conditionalFormatting>
  <conditionalFormatting sqref="G13:G16">
    <cfRule type="expression" dxfId="61" priority="67" stopIfTrue="1">
      <formula>$B13=1</formula>
    </cfRule>
    <cfRule type="expression" dxfId="60" priority="68">
      <formula>$D13=TODAY()</formula>
    </cfRule>
    <cfRule type="expression" dxfId="59" priority="70">
      <formula>AND(F13&lt;&gt;1,H13=TODAY())</formula>
    </cfRule>
    <cfRule type="expression" dxfId="58" priority="71">
      <formula>AND($B13&lt;&gt;1,$D13&lt;TODAY())</formula>
    </cfRule>
  </conditionalFormatting>
  <conditionalFormatting sqref="C17:C21">
    <cfRule type="expression" dxfId="57" priority="63" stopIfTrue="1">
      <formula>D17=""</formula>
    </cfRule>
  </conditionalFormatting>
  <conditionalFormatting sqref="C17:F21">
    <cfRule type="expression" dxfId="56" priority="61" stopIfTrue="1">
      <formula>$B17=1</formula>
    </cfRule>
    <cfRule type="expression" dxfId="55" priority="62">
      <formula>$D17=TODAY()</formula>
    </cfRule>
    <cfRule type="expression" dxfId="54" priority="64">
      <formula>AND(B17&lt;&gt;1,D17=TODAY())</formula>
    </cfRule>
    <cfRule type="expression" dxfId="53" priority="65">
      <formula>AND($B17&lt;&gt;1,$D17&lt;TODAY())</formula>
    </cfRule>
  </conditionalFormatting>
  <conditionalFormatting sqref="G17:G21">
    <cfRule type="expression" dxfId="52" priority="58" stopIfTrue="1">
      <formula>H17=""</formula>
    </cfRule>
  </conditionalFormatting>
  <conditionalFormatting sqref="G17:G21">
    <cfRule type="expression" dxfId="51" priority="56" stopIfTrue="1">
      <formula>$B17=1</formula>
    </cfRule>
    <cfRule type="expression" dxfId="50" priority="57">
      <formula>$D17=TODAY()</formula>
    </cfRule>
    <cfRule type="expression" dxfId="49" priority="59">
      <formula>AND(F17&lt;&gt;1,H17=TODAY())</formula>
    </cfRule>
    <cfRule type="expression" dxfId="48" priority="60">
      <formula>AND($B17&lt;&gt;1,$D17&lt;TODAY())</formula>
    </cfRule>
  </conditionalFormatting>
  <conditionalFormatting sqref="C17:C21">
    <cfRule type="expression" dxfId="47" priority="52" stopIfTrue="1">
      <formula>D17=""</formula>
    </cfRule>
  </conditionalFormatting>
  <conditionalFormatting sqref="C17:F21">
    <cfRule type="expression" dxfId="46" priority="50" stopIfTrue="1">
      <formula>$B17=1</formula>
    </cfRule>
    <cfRule type="expression" dxfId="45" priority="51">
      <formula>$D17=TODAY()</formula>
    </cfRule>
    <cfRule type="expression" dxfId="44" priority="53">
      <formula>AND(B17&lt;&gt;1,D17=TODAY())</formula>
    </cfRule>
    <cfRule type="expression" dxfId="43" priority="54">
      <formula>AND($B17&lt;&gt;1,$D17&lt;TODAY())</formula>
    </cfRule>
  </conditionalFormatting>
  <conditionalFormatting sqref="G17:G21">
    <cfRule type="expression" dxfId="42" priority="47" stopIfTrue="1">
      <formula>H17=""</formula>
    </cfRule>
  </conditionalFormatting>
  <conditionalFormatting sqref="G17:G21">
    <cfRule type="expression" dxfId="41" priority="45" stopIfTrue="1">
      <formula>$B17=1</formula>
    </cfRule>
    <cfRule type="expression" dxfId="40" priority="46">
      <formula>$D17=TODAY()</formula>
    </cfRule>
    <cfRule type="expression" dxfId="39" priority="48">
      <formula>AND(F17&lt;&gt;1,H17=TODAY())</formula>
    </cfRule>
    <cfRule type="expression" dxfId="38" priority="49">
      <formula>AND($B17&lt;&gt;1,$D17&lt;TODAY())</formula>
    </cfRule>
  </conditionalFormatting>
  <conditionalFormatting sqref="C22">
    <cfRule type="expression" dxfId="37" priority="41" stopIfTrue="1">
      <formula>D22=""</formula>
    </cfRule>
  </conditionalFormatting>
  <conditionalFormatting sqref="C22:F22">
    <cfRule type="expression" dxfId="36" priority="39" stopIfTrue="1">
      <formula>$B22=1</formula>
    </cfRule>
    <cfRule type="expression" dxfId="35" priority="40">
      <formula>$D22=TODAY()</formula>
    </cfRule>
    <cfRule type="expression" dxfId="34" priority="42">
      <formula>AND(B22&lt;&gt;1,D22=TODAY())</formula>
    </cfRule>
    <cfRule type="expression" dxfId="33" priority="43">
      <formula>AND($B22&lt;&gt;1,$D22&lt;TODAY())</formula>
    </cfRule>
  </conditionalFormatting>
  <conditionalFormatting sqref="G22">
    <cfRule type="expression" dxfId="32" priority="36" stopIfTrue="1">
      <formula>H22=""</formula>
    </cfRule>
  </conditionalFormatting>
  <conditionalFormatting sqref="G22">
    <cfRule type="expression" dxfId="31" priority="34" stopIfTrue="1">
      <formula>$B22=1</formula>
    </cfRule>
    <cfRule type="expression" dxfId="30" priority="35">
      <formula>$D22=TODAY()</formula>
    </cfRule>
    <cfRule type="expression" dxfId="29" priority="37">
      <formula>AND(F22&lt;&gt;1,H22=TODAY())</formula>
    </cfRule>
    <cfRule type="expression" dxfId="28" priority="38">
      <formula>AND($B22&lt;&gt;1,$D22&lt;TODAY())</formula>
    </cfRule>
  </conditionalFormatting>
  <conditionalFormatting sqref="C22">
    <cfRule type="expression" dxfId="27" priority="30" stopIfTrue="1">
      <formula>D22=""</formula>
    </cfRule>
  </conditionalFormatting>
  <conditionalFormatting sqref="C22:F22">
    <cfRule type="expression" dxfId="26" priority="28" stopIfTrue="1">
      <formula>$B22=1</formula>
    </cfRule>
    <cfRule type="expression" dxfId="25" priority="29">
      <formula>$D22=TODAY()</formula>
    </cfRule>
    <cfRule type="expression" dxfId="24" priority="31">
      <formula>AND(B22&lt;&gt;1,D22=TODAY())</formula>
    </cfRule>
    <cfRule type="expression" dxfId="23" priority="32">
      <formula>AND($B22&lt;&gt;1,$D22&lt;TODAY())</formula>
    </cfRule>
  </conditionalFormatting>
  <conditionalFormatting sqref="G22">
    <cfRule type="expression" dxfId="22" priority="25" stopIfTrue="1">
      <formula>H22=""</formula>
    </cfRule>
  </conditionalFormatting>
  <conditionalFormatting sqref="G22">
    <cfRule type="expression" dxfId="21" priority="23" stopIfTrue="1">
      <formula>$B22=1</formula>
    </cfRule>
    <cfRule type="expression" dxfId="20" priority="24">
      <formula>$D22=TODAY()</formula>
    </cfRule>
    <cfRule type="expression" dxfId="19" priority="26">
      <formula>AND(F22&lt;&gt;1,H22=TODAY())</formula>
    </cfRule>
    <cfRule type="expression" dxfId="18" priority="27">
      <formula>AND($B22&lt;&gt;1,$D22&lt;TODAY())</formula>
    </cfRule>
  </conditionalFormatting>
  <dataValidations count="17">
    <dataValidation type="list" errorStyle="warning" allowBlank="1" showInputMessage="1" showErrorMessage="1" error="Selecione a Prioridade na lista. Selecione Cancelar, pressione Alt+Seta para baixo para ver as opções e, depois, Seta para baixo e Enter para fazer a seleção" sqref="E7:E22" xr:uid="{00000000-0002-0000-0000-000000000000}">
      <formula1>"Alta,Média,Baixo"</formula1>
    </dataValidation>
    <dataValidation type="list" errorStyle="warning" allowBlank="1" showInputMessage="1" showErrorMessage="1" error="Selecione os nomes de Atribuído a na lista. Selecione Cancelar, pressione Alt+Seta para baixo para ver as opções e, depois, Seta para baixo e Enter para fazer a seleção" sqref="F7:F22" xr:uid="{00000000-0002-0000-0000-000001000000}">
      <formula1>AtribuídoA</formula1>
    </dataValidation>
    <dataValidation allowBlank="1" showInputMessage="1" showErrorMessage="1" prompt="Crie a Lista de tarefas pendentes nesta pasta de trabalho. Insira detalhes na tabela Lista de tarefas pendentes da planilha. Selecione a célula F1 para navegar até a planilha Configuração. As datas de conclusão e atraso são atualizadas automaticamente" sqref="A1:A5" xr:uid="{00000000-0002-0000-0000-000002000000}"/>
    <dataValidation allowBlank="1" showInputMessage="1" showErrorMessage="1" prompt="Link de navegação para a planilha Definição da tarefa" sqref="F1" xr:uid="{00000000-0002-0000-0000-000004000000}"/>
    <dataValidation allowBlank="1" showInputMessage="1" showErrorMessage="1" prompt="A data será atualizada automaticamente nessa célula e a Conclusão prevista para hoje e os Dias em atraso nas células abaixo" sqref="B2:C2" xr:uid="{00000000-0002-0000-0000-000005000000}"/>
    <dataValidation allowBlank="1" showInputMessage="1" showErrorMessage="1" prompt="A Conclusão prevista para hoje é atualizada automaticamente na célula à direita" sqref="B3" xr:uid="{00000000-0002-0000-0000-000006000000}"/>
    <dataValidation allowBlank="1" showInputMessage="1" showErrorMessage="1" prompt="A Conclusão prevista para hoje é atualizada automaticamente nesta célula" sqref="C3" xr:uid="{00000000-0002-0000-0000-000007000000}"/>
    <dataValidation allowBlank="1" showInputMessage="1" showErrorMessage="1" prompt="Insira a descrição na coluna sob este cabeçalho." sqref="C6 G6" xr:uid="{00000000-0002-0000-0000-00000A000000}"/>
    <dataValidation allowBlank="1" showInputMessage="1" showErrorMessage="1" prompt="Insira a Data de conclusão na coluna sob este cabeçalho" sqref="D6" xr:uid="{00000000-0002-0000-0000-00000B000000}"/>
    <dataValidation allowBlank="1" showInputMessage="1" showErrorMessage="1" prompt="Selecione a Prioridade na coluna sob este cabeçalho. Pressione Alt+Seta para baixo para ver as opções e, depois, Seta para baixo e Enter para selecionar" sqref="E6" xr:uid="{00000000-0002-0000-0000-00000C000000}"/>
    <dataValidation allowBlank="1" showInputMessage="1" showErrorMessage="1" prompt="Selecione os nomes de Atribuído a na coluna sob este cabeçalho. Pressione Alt+Seta para baixo para ver as opções e, depois, Seta para baixo e Enter para selecionar" sqref="F6" xr:uid="{00000000-0002-0000-0000-00000D000000}"/>
    <dataValidation allowBlank="1" showInputMessage="1" showErrorMessage="1" prompt="Insira um valor maior que 1 na coluna sob este cabeçalho para marcar as tarefas como Concluídas. A formatação de tachado será aplicada automaticamente" sqref="B6" xr:uid="{00000000-0002-0000-0000-00000E000000}"/>
    <dataValidation allowBlank="1" showErrorMessage="1" prompt="O título da planilha está nesta célula. A data é atualizada automaticamente na célula abaixo e a Conclusão prevista para hoje e os Dias em atraso aparecem nas células C3 e C4. A dica está na célula à direita" sqref="C1" xr:uid="{00000000-0002-0000-0000-000003000000}"/>
    <dataValidation allowBlank="1" showInputMessage="1" showErrorMessage="1" prompt="O título da planilha está na célula C1. A data é atualizada automaticamente na célula B2 e a Conclusão prevista para hoje e os Dias em atraso aparecem nas células C3 e C4. A próxima dica está na célula abaixo." sqref="B1" xr:uid="{A1419114-EA4B-4682-BE7E-B798760663B5}"/>
    <dataValidation allowBlank="1" showInputMessage="1" showErrorMessage="1" prompt="Os Dias em atraso são atualizados automaticamente na célula à direita" sqref="B4" xr:uid="{00000000-0002-0000-0000-000008000000}"/>
    <dataValidation allowBlank="1" showInputMessage="1" showErrorMessage="1" prompt="Os Dias em atraso são atualizados automaticamente nesta célula. Insira os detalhes na tabela abaixo. A dica da tabela está na célula A6" sqref="C4" xr:uid="{00000000-0002-0000-0000-000009000000}"/>
    <dataValidation allowBlank="1" showErrorMessage="1" sqref="B5:C5" xr:uid="{254DA3D6-ECB4-4C15-B279-41BA4F74C3F3}"/>
  </dataValidations>
  <hyperlinks>
    <hyperlink ref="F1" location="'Definição da tarefa'!A1" tooltip="Clique para navegar até a Configuração da tarefa" display="SETUP &gt;" xr:uid="{EB98820A-A312-4322-922A-B3AC2F81714F}"/>
  </hyperlinks>
  <pageMargins left="0.5" right="0.5" top="0.75" bottom="0.75" header="0.3" footer="0.3"/>
  <pageSetup paperSize="9" scale="54" fitToHeight="0" orientation="landscape" r:id="rId1"/>
  <ignoredErrors>
    <ignoredError sqref="C3" emptyCellReference="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99" id="{BA82746F-AAF3-49E9-901A-F6FDFCCA8AAC}">
            <x14:iconSet iconSet="3Symbols2" custom="1">
              <x14:cfvo type="percent">
                <xm:f>0</xm:f>
              </x14:cfvo>
              <x14:cfvo type="formula">
                <xm:f>0</xm:f>
              </x14:cfvo>
              <x14:cfvo type="num">
                <xm:f>1</xm:f>
              </x14:cfvo>
              <x14:cfIcon iconSet="NoIcons" iconId="0"/>
              <x14:cfIcon iconSet="NoIcons" iconId="0"/>
              <x14:cfIcon iconSet="3Symbols2" iconId="2"/>
            </x14:iconSet>
          </x14:cfRule>
          <xm:sqref>B7:B16</xm:sqref>
        </x14:conditionalFormatting>
        <x14:conditionalFormatting xmlns:xm="http://schemas.microsoft.com/office/excel/2006/main">
          <x14:cfRule type="iconSet" priority="77" id="{DE7CF1D0-D7E3-454C-86E1-9ECDD8DAD289}">
            <x14:iconSet iconSet="3Symbols2" custom="1">
              <x14:cfvo type="percent">
                <xm:f>0</xm:f>
              </x14:cfvo>
              <x14:cfvo type="formula">
                <xm:f>0</xm:f>
              </x14:cfvo>
              <x14:cfvo type="num">
                <xm:f>1</xm:f>
              </x14:cfvo>
              <x14:cfIcon iconSet="NoIcons" iconId="0"/>
              <x14:cfIcon iconSet="NoIcons" iconId="0"/>
              <x14:cfIcon iconSet="3Symbols2" iconId="2"/>
            </x14:iconSet>
          </x14:cfRule>
          <xm:sqref>B13:B16</xm:sqref>
        </x14:conditionalFormatting>
        <x14:conditionalFormatting xmlns:xm="http://schemas.microsoft.com/office/excel/2006/main">
          <x14:cfRule type="iconSet" priority="66" id="{7DA1D0ED-A56F-44E5-8BD4-51F0491AB65F}">
            <x14:iconSet iconSet="3Symbols2" custom="1">
              <x14:cfvo type="percent">
                <xm:f>0</xm:f>
              </x14:cfvo>
              <x14:cfvo type="formula">
                <xm:f>0</xm:f>
              </x14:cfvo>
              <x14:cfvo type="num">
                <xm:f>1</xm:f>
              </x14:cfvo>
              <x14:cfIcon iconSet="NoIcons" iconId="0"/>
              <x14:cfIcon iconSet="NoIcons" iconId="0"/>
              <x14:cfIcon iconSet="3Symbols2" iconId="2"/>
            </x14:iconSet>
          </x14:cfRule>
          <xm:sqref>B17:B21</xm:sqref>
        </x14:conditionalFormatting>
        <x14:conditionalFormatting xmlns:xm="http://schemas.microsoft.com/office/excel/2006/main">
          <x14:cfRule type="iconSet" priority="55" id="{EB44FD81-E8E8-44E3-A213-8055C1156CE9}">
            <x14:iconSet iconSet="3Symbols2" custom="1">
              <x14:cfvo type="percent">
                <xm:f>0</xm:f>
              </x14:cfvo>
              <x14:cfvo type="formula">
                <xm:f>0</xm:f>
              </x14:cfvo>
              <x14:cfvo type="num">
                <xm:f>1</xm:f>
              </x14:cfvo>
              <x14:cfIcon iconSet="NoIcons" iconId="0"/>
              <x14:cfIcon iconSet="NoIcons" iconId="0"/>
              <x14:cfIcon iconSet="3Symbols2" iconId="2"/>
            </x14:iconSet>
          </x14:cfRule>
          <xm:sqref>B17:B21</xm:sqref>
        </x14:conditionalFormatting>
        <x14:conditionalFormatting xmlns:xm="http://schemas.microsoft.com/office/excel/2006/main">
          <x14:cfRule type="iconSet" priority="44" id="{36C31753-4E15-4DDA-A94D-DDE9ADC0BFC1}">
            <x14:iconSet iconSet="3Symbols2" custom="1">
              <x14:cfvo type="percent">
                <xm:f>0</xm:f>
              </x14:cfvo>
              <x14:cfvo type="formula">
                <xm:f>0</xm:f>
              </x14:cfvo>
              <x14:cfvo type="num">
                <xm:f>1</xm:f>
              </x14:cfvo>
              <x14:cfIcon iconSet="NoIcons" iconId="0"/>
              <x14:cfIcon iconSet="NoIcons" iconId="0"/>
              <x14:cfIcon iconSet="3Symbols2" iconId="2"/>
            </x14:iconSet>
          </x14:cfRule>
          <xm:sqref>B22</xm:sqref>
        </x14:conditionalFormatting>
        <x14:conditionalFormatting xmlns:xm="http://schemas.microsoft.com/office/excel/2006/main">
          <x14:cfRule type="iconSet" priority="33" id="{E9285299-A0DC-4B79-B806-4B977DC5F447}">
            <x14:iconSet iconSet="3Symbols2" custom="1">
              <x14:cfvo type="percent">
                <xm:f>0</xm:f>
              </x14:cfvo>
              <x14:cfvo type="formula">
                <xm:f>0</xm:f>
              </x14:cfvo>
              <x14:cfvo type="num">
                <xm:f>1</xm:f>
              </x14:cfvo>
              <x14:cfIcon iconSet="NoIcons" iconId="0"/>
              <x14:cfIcon iconSet="NoIcons" iconId="0"/>
              <x14:cfIcon iconSet="3Symbols2" iconId="2"/>
            </x14:iconSet>
          </x14:cfRule>
          <xm:sqref>B22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skSetup">
    <tabColor theme="6" tint="0.39997558519241921"/>
    <pageSetUpPr fitToPage="1"/>
  </sheetPr>
  <dimension ref="A1:O11"/>
  <sheetViews>
    <sheetView showGridLines="0" topLeftCell="A7" zoomScaleNormal="100" workbookViewId="0">
      <selection activeCell="B11" sqref="B11"/>
    </sheetView>
  </sheetViews>
  <sheetFormatPr defaultColWidth="0" defaultRowHeight="30" customHeight="1"/>
  <cols>
    <col min="1" max="1" width="3.77734375" style="2" customWidth="1"/>
    <col min="2" max="2" width="21" style="2" customWidth="1"/>
    <col min="3" max="3" width="20.5546875" style="2" customWidth="1"/>
    <col min="4" max="4" width="8.77734375" style="2" customWidth="1"/>
    <col min="5" max="5" width="16.88671875" style="2" customWidth="1"/>
    <col min="6" max="6" width="8.77734375" style="2" customWidth="1"/>
    <col min="7" max="7" width="7.21875" style="2" hidden="1" customWidth="1"/>
    <col min="8" max="15" width="0" style="2" hidden="1" customWidth="1"/>
    <col min="16" max="16384" width="10.77734375" style="2" hidden="1"/>
  </cols>
  <sheetData>
    <row r="1" spans="2:11" ht="66" customHeight="1">
      <c r="B1" s="35" t="s">
        <v>14</v>
      </c>
      <c r="C1" s="35"/>
      <c r="D1" s="35"/>
      <c r="E1" s="36" t="s">
        <v>16</v>
      </c>
      <c r="F1" s="36"/>
      <c r="G1" s="7"/>
      <c r="H1" s="7"/>
      <c r="I1" s="7"/>
      <c r="J1" s="7"/>
      <c r="K1" s="7"/>
    </row>
    <row r="2" spans="2:11" ht="83.25" customHeight="1">
      <c r="B2" s="34" t="s">
        <v>15</v>
      </c>
      <c r="C2" s="34"/>
      <c r="D2" s="34"/>
      <c r="E2" s="34"/>
      <c r="F2" s="34"/>
      <c r="G2" s="7"/>
      <c r="H2" s="7"/>
      <c r="I2" s="7"/>
      <c r="J2" s="7"/>
      <c r="K2" s="7"/>
    </row>
    <row r="3" spans="2:11" ht="30" customHeight="1">
      <c r="B3" s="15" t="s">
        <v>13</v>
      </c>
      <c r="C3" s="21"/>
      <c r="D3" s="33"/>
      <c r="E3" s="33"/>
      <c r="F3" s="33"/>
    </row>
    <row r="4" spans="2:11" ht="30" customHeight="1">
      <c r="B4" s="4" t="s">
        <v>17</v>
      </c>
      <c r="C4" s="21"/>
      <c r="D4" s="21"/>
      <c r="E4" s="21"/>
      <c r="F4" s="21"/>
    </row>
    <row r="5" spans="2:11" ht="30" customHeight="1">
      <c r="B5" s="4" t="s">
        <v>18</v>
      </c>
      <c r="C5" s="21"/>
      <c r="D5" s="21"/>
      <c r="E5" s="21"/>
      <c r="F5" s="21"/>
    </row>
    <row r="6" spans="2:11" ht="30" customHeight="1">
      <c r="B6" s="4" t="s">
        <v>19</v>
      </c>
      <c r="C6" s="21"/>
      <c r="D6" s="21"/>
      <c r="E6" s="21"/>
      <c r="F6" s="21"/>
    </row>
    <row r="7" spans="2:11" ht="30" customHeight="1">
      <c r="B7" s="4" t="s">
        <v>20</v>
      </c>
      <c r="C7" s="21"/>
      <c r="D7" s="21"/>
      <c r="E7" s="21"/>
      <c r="F7" s="21"/>
    </row>
    <row r="8" spans="2:11" ht="30" customHeight="1">
      <c r="B8" s="4" t="s">
        <v>25</v>
      </c>
      <c r="C8" s="21"/>
      <c r="D8" s="21"/>
      <c r="E8" s="21"/>
      <c r="F8" s="21"/>
    </row>
    <row r="9" spans="2:11" ht="30" customHeight="1">
      <c r="B9" s="4" t="s">
        <v>39</v>
      </c>
      <c r="C9" s="21"/>
      <c r="D9" s="21"/>
      <c r="E9" s="21"/>
      <c r="F9" s="21"/>
    </row>
    <row r="10" spans="2:11" ht="30" customHeight="1">
      <c r="B10" s="4" t="s">
        <v>42</v>
      </c>
    </row>
    <row r="11" spans="2:11" ht="30" customHeight="1">
      <c r="B11" s="27" t="s">
        <v>49</v>
      </c>
    </row>
  </sheetData>
  <mergeCells count="4">
    <mergeCell ref="D3:F3"/>
    <mergeCell ref="B2:F2"/>
    <mergeCell ref="B1:D1"/>
    <mergeCell ref="E1:F1"/>
  </mergeCells>
  <dataValidations count="4">
    <dataValidation allowBlank="1" showInputMessage="1" showErrorMessage="1" prompt="Crie uma Definição de tarefa nesta planilha. Insira ou modifique as entradas na tabela Chaves de cores, começando na célula B4. Selecione a célula E1 para navegar até a Lista de tarefas pendentes. A Dica está na célula B2" sqref="A1" xr:uid="{00000000-0002-0000-0100-000000000000}"/>
    <dataValidation allowBlank="1" showInputMessage="1" showErrorMessage="1" prompt="Insira ou altere os nomes de Atribuído a na coluna sob este cabeçalho" sqref="B3" xr:uid="{00000000-0002-0000-0100-000002000000}"/>
    <dataValidation allowBlank="1" showInputMessage="1" showErrorMessage="1" prompt="O título desta planilha está nessa célula, a dica está na célula abaixo e o link de navegação para a planilha Lista de tarefas pendentes, na célula à direita" sqref="B1" xr:uid="{00000000-0002-0000-0100-000003000000}"/>
    <dataValidation allowBlank="1" showInputMessage="1" showErrorMessage="1" prompt="Link de navegação para planilha Lista de tarefas pendentes" sqref="E1 G1:K2" xr:uid="{00000000-0002-0000-0100-000001000000}"/>
  </dataValidations>
  <hyperlinks>
    <hyperlink ref="G1:K2" location="'Lista de tarefas pendentes'!A1" tooltip="Selecione para navegar até a planilha Lista de tarefas pendentes" display="&lt; To Do List" xr:uid="{00000000-0004-0000-0100-000000000000}"/>
    <hyperlink ref="E1:F1" location="'Lista de tarefas pendentes'!A1" tooltip="Clique para navegar até a planilha Lista de tarefas pendentes" display="&lt; To Do List" xr:uid="{030E72E2-83DE-4827-9931-20D8B9FA68D2}"/>
  </hyperlinks>
  <pageMargins left="0.5" right="0.5" top="0.75" bottom="0.75" header="0.3" footer="0.3"/>
  <pageSetup paperSize="9" scale="94" fitToHeight="0"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EEA25CC0A0AC24199CDC46C25B8B0BC" ma:contentTypeVersion="10" ma:contentTypeDescription="Create a new document." ma:contentTypeScope="" ma:versionID="e3b47856d4cf355c0dacb39e1084d14f">
  <xsd:schema xmlns:xsd="http://www.w3.org/2001/XMLSchema" xmlns:xs="http://www.w3.org/2001/XMLSchema" xmlns:p="http://schemas.microsoft.com/office/2006/metadata/properties" xmlns:ns1="http://schemas.microsoft.com/sharepoint/v3" xmlns:ns2="6dc4bcd6-49db-4c07-9060-8acfc67cef9f" xmlns:ns3="fb0879af-3eba-417a-a55a-ffe6dcd6ca77" targetNamespace="http://schemas.microsoft.com/office/2006/metadata/properties" ma:root="true" ma:fieldsID="a845a615265fdb1f7b12cc65ac20ecbd" ns1:_="" ns2:_="" ns3:_="">
    <xsd:import namespace="http://schemas.microsoft.com/sharepoint/v3"/>
    <xsd:import namespace="6dc4bcd6-49db-4c07-9060-8acfc67cef9f"/>
    <xsd:import namespace="fb0879af-3eba-417a-a55a-ffe6dcd6ca77"/>
    <xsd:element name="properties">
      <xsd:complexType>
        <xsd:sequence>
          <xsd:element name="documentManagement">
            <xsd:complexType>
              <xsd:all>
                <xsd:element ref="ns2:MediaServiceMetadata" minOccurs="0"/>
                <xsd:element ref="ns2:MediaServiceFastMetadata" minOccurs="0"/>
                <xsd:element ref="ns2:MediaServiceOCR" minOccurs="0"/>
                <xsd:element ref="ns3:SharedWithUsers" minOccurs="0"/>
                <xsd:element ref="ns3:SharedWithDetails" minOccurs="0"/>
                <xsd:element ref="ns3:LastSharedByUser" minOccurs="0"/>
                <xsd:element ref="ns3:LastSharedByTime" minOccurs="0"/>
                <xsd:element ref="ns1:_ip_UnifiedCompliancePolicyProperties" minOccurs="0"/>
                <xsd:element ref="ns1:_ip_UnifiedCompliancePolicyUIAction" minOccurs="0"/>
                <xsd:element ref="ns2:MediaServiceAutoTag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5" nillable="true" ma:displayName="Unified Compliance Policy Properties" ma:hidden="true" ma:internalName="_ip_UnifiedCompliancePolicyProperties">
      <xsd:simpleType>
        <xsd:restriction base="dms:Note"/>
      </xsd:simpleType>
    </xsd:element>
    <xsd:element name="_ip_UnifiedCompliancePolicyUIAction" ma:index="16"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dc4bcd6-49db-4c07-9060-8acfc67cef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7" nillable="true" ma:displayName="MediaServiceAutoTags" ma:internalName="MediaServiceAutoTag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0879af-3eba-417a-a55a-ffe6dcd6ca77"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element name="LastSharedByUser" ma:index="13" nillable="true" ma:displayName="Last Shared By User" ma:hidden="true" ma:internalName="LastSharedByUser" ma:readOnly="true">
      <xsd:simpleType>
        <xsd:restriction base="dms:Note"/>
      </xsd:simpleType>
    </xsd:element>
    <xsd:element name="LastSharedByTime" ma:index="14" nillable="true" ma:displayName="Last Shared By Time" ma:hidden="true"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118F064-9046-4DCB-A010-2D274D0FB54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dc4bcd6-49db-4c07-9060-8acfc67cef9f"/>
    <ds:schemaRef ds:uri="fb0879af-3eba-417a-a55a-ffe6dcd6ca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CCC4C8-6A95-4999-B963-115A022CA31F}">
  <ds:schemaRefs>
    <ds:schemaRef ds:uri="fb0879af-3eba-417a-a55a-ffe6dcd6ca77"/>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http://purl.org/dc/dcmitype/"/>
    <ds:schemaRef ds:uri="http://purl.org/dc/elements/1.1/"/>
    <ds:schemaRef ds:uri="http://schemas.microsoft.com/office/2006/documentManagement/types"/>
    <ds:schemaRef ds:uri="http://purl.org/dc/terms/"/>
    <ds:schemaRef ds:uri="6dc4bcd6-49db-4c07-9060-8acfc67cef9f"/>
    <ds:schemaRef ds:uri="http://schemas.microsoft.com/sharepoint/v3"/>
  </ds:schemaRefs>
</ds:datastoreItem>
</file>

<file path=customXml/itemProps3.xml><?xml version="1.0" encoding="utf-8"?>
<ds:datastoreItem xmlns:ds="http://schemas.openxmlformats.org/officeDocument/2006/customXml" ds:itemID="{920DC3BD-3C4B-4C78-91FF-63EB10F70D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2</vt:i4>
      </vt:variant>
      <vt:variant>
        <vt:lpstr>Intervalos Nomeados</vt:lpstr>
      </vt:variant>
      <vt:variant>
        <vt:i4>13</vt:i4>
      </vt:variant>
    </vt:vector>
  </HeadingPairs>
  <TitlesOfParts>
    <vt:vector size="15" baseType="lpstr">
      <vt:lpstr>Lista de tarefas pendentes</vt:lpstr>
      <vt:lpstr>Definição da tarefa</vt:lpstr>
      <vt:lpstr>AtribuídoA</vt:lpstr>
      <vt:lpstr>ChaveDeCor</vt:lpstr>
      <vt:lpstr>ConclusãoPrevistaParaHoje</vt:lpstr>
      <vt:lpstr>Cor1</vt:lpstr>
      <vt:lpstr>Cor2</vt:lpstr>
      <vt:lpstr>Cor3</vt:lpstr>
      <vt:lpstr>Cor4</vt:lpstr>
      <vt:lpstr>Cor5</vt:lpstr>
      <vt:lpstr>Cor6</vt:lpstr>
      <vt:lpstr>'Lista de tarefas pendentes'!Grade</vt:lpstr>
      <vt:lpstr>TítuloDaColuna1</vt:lpstr>
      <vt:lpstr>TítuloDaColuna2</vt:lpstr>
      <vt:lpstr>'Lista de tarefas pendentes'!Titulos_de_impressao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
  <cp:lastModifiedBy/>
  <dcterms:created xsi:type="dcterms:W3CDTF">2018-08-10T20:02:13Z</dcterms:created>
  <dcterms:modified xsi:type="dcterms:W3CDTF">2019-09-23T20:24:11Z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0x010100DEEA25CC0A0AC24199CDC46C25B8B0BC</vt:lpwstr>
  </property>
</Properties>
</file>